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nh\Downloads\Gauvendi\"/>
    </mc:Choice>
  </mc:AlternateContent>
  <xr:revisionPtr revIDLastSave="0" documentId="13_ncr:1_{8823A063-EBEB-44DB-A2FF-6FBF6036F27F}" xr6:coauthVersionLast="47" xr6:coauthVersionMax="47" xr10:uidLastSave="{00000000-0000-0000-0000-000000000000}"/>
  <bookViews>
    <workbookView xWindow="28680" yWindow="-120" windowWidth="29040" windowHeight="15720" xr2:uid="{2582A5D2-0861-B54E-86CF-3A4C9A4AFF14}"/>
  </bookViews>
  <sheets>
    <sheet name="Pricing Log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1" l="1"/>
  <c r="T70" i="1"/>
  <c r="S70" i="1"/>
  <c r="R70" i="1"/>
  <c r="Q70" i="1"/>
  <c r="U69" i="1"/>
  <c r="T69" i="1"/>
  <c r="S69" i="1"/>
  <c r="R69" i="1"/>
  <c r="Q69" i="1"/>
  <c r="N70" i="1"/>
  <c r="M70" i="1"/>
  <c r="L70" i="1"/>
  <c r="K70" i="1"/>
  <c r="J70" i="1"/>
  <c r="I70" i="1"/>
  <c r="H70" i="1"/>
  <c r="N69" i="1"/>
  <c r="M69" i="1"/>
  <c r="L69" i="1"/>
  <c r="K69" i="1"/>
  <c r="J69" i="1"/>
  <c r="I69" i="1"/>
  <c r="H69" i="1"/>
  <c r="U60" i="1"/>
  <c r="T60" i="1"/>
  <c r="S60" i="1"/>
  <c r="R60" i="1"/>
  <c r="Q60" i="1"/>
  <c r="U59" i="1"/>
  <c r="T59" i="1"/>
  <c r="S59" i="1"/>
  <c r="R59" i="1"/>
  <c r="Q59" i="1"/>
  <c r="I59" i="1"/>
  <c r="J59" i="1"/>
  <c r="K59" i="1"/>
  <c r="L59" i="1"/>
  <c r="M59" i="1"/>
  <c r="N59" i="1"/>
  <c r="I60" i="1"/>
  <c r="J60" i="1"/>
  <c r="K60" i="1"/>
  <c r="L60" i="1"/>
  <c r="M60" i="1"/>
  <c r="N60" i="1"/>
  <c r="H60" i="1"/>
  <c r="H59" i="1"/>
  <c r="R53" i="1" l="1"/>
  <c r="R63" i="1" s="1"/>
  <c r="S53" i="1"/>
  <c r="S63" i="1" s="1"/>
  <c r="T53" i="1"/>
  <c r="T63" i="1" s="1"/>
  <c r="U53" i="1"/>
  <c r="U63" i="1" s="1"/>
  <c r="Q53" i="1"/>
  <c r="Q63" i="1" s="1"/>
  <c r="P68" i="1"/>
  <c r="P67" i="1"/>
  <c r="P66" i="1"/>
  <c r="P65" i="1"/>
  <c r="P64" i="1"/>
  <c r="P58" i="1"/>
  <c r="P57" i="1"/>
  <c r="P56" i="1"/>
  <c r="P55" i="1"/>
  <c r="P54" i="1"/>
  <c r="P16" i="1"/>
  <c r="P17" i="1"/>
  <c r="P18" i="1"/>
  <c r="P19" i="1"/>
  <c r="P15" i="1"/>
  <c r="H49" i="1"/>
  <c r="I49" i="1"/>
  <c r="J49" i="1"/>
  <c r="K49" i="1"/>
  <c r="L49" i="1"/>
  <c r="M49" i="1"/>
  <c r="N49" i="1"/>
  <c r="D20" i="1"/>
  <c r="N29" i="1"/>
  <c r="I29" i="1"/>
  <c r="J29" i="1"/>
  <c r="K29" i="1"/>
  <c r="L29" i="1"/>
  <c r="M29" i="1"/>
  <c r="H29" i="1"/>
  <c r="J30" i="1"/>
  <c r="K30" i="1"/>
  <c r="L30" i="1"/>
  <c r="M30" i="1"/>
  <c r="N30" i="1"/>
  <c r="I30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I18" i="1"/>
  <c r="J18" i="1"/>
  <c r="K18" i="1"/>
  <c r="I17" i="1"/>
  <c r="J17" i="1"/>
  <c r="K17" i="1"/>
  <c r="I16" i="1"/>
  <c r="J16" i="1"/>
  <c r="K16" i="1"/>
  <c r="I19" i="1"/>
  <c r="J19" i="1"/>
  <c r="K19" i="1"/>
  <c r="H19" i="1"/>
  <c r="J15" i="1"/>
  <c r="K15" i="1"/>
  <c r="I15" i="1"/>
  <c r="H18" i="1"/>
  <c r="H17" i="1"/>
  <c r="H16" i="1"/>
  <c r="H15" i="1"/>
  <c r="H30" i="1"/>
  <c r="F19" i="1"/>
  <c r="F18" i="1"/>
  <c r="F16" i="1"/>
  <c r="F17" i="1"/>
  <c r="F15" i="1"/>
  <c r="K22" i="1" l="1"/>
  <c r="K23" i="1"/>
  <c r="N23" i="1"/>
  <c r="N22" i="1"/>
  <c r="M23" i="1"/>
  <c r="M22" i="1"/>
  <c r="L23" i="1"/>
  <c r="L22" i="1"/>
  <c r="F23" i="1"/>
  <c r="F22" i="1"/>
  <c r="J23" i="1"/>
  <c r="J22" i="1"/>
  <c r="H22" i="1"/>
  <c r="H23" i="1"/>
  <c r="I23" i="1"/>
  <c r="I22" i="1"/>
  <c r="M44" i="1"/>
  <c r="F21" i="1"/>
  <c r="S16" i="1"/>
  <c r="T17" i="1"/>
  <c r="Q18" i="1"/>
  <c r="U15" i="1"/>
  <c r="T16" i="1"/>
  <c r="S17" i="1"/>
  <c r="U18" i="1"/>
  <c r="M43" i="1"/>
  <c r="N43" i="1"/>
  <c r="Q19" i="1"/>
  <c r="T18" i="1"/>
  <c r="S18" i="1"/>
  <c r="U17" i="1"/>
  <c r="R18" i="1"/>
  <c r="Q16" i="1"/>
  <c r="T19" i="1"/>
  <c r="S15" i="1"/>
  <c r="H43" i="1"/>
  <c r="Q17" i="1"/>
  <c r="U19" i="1"/>
  <c r="N44" i="1"/>
  <c r="R16" i="1"/>
  <c r="R19" i="1"/>
  <c r="R17" i="1"/>
  <c r="R15" i="1"/>
  <c r="K44" i="1"/>
  <c r="H40" i="1"/>
  <c r="F26" i="1"/>
  <c r="F25" i="1" s="1"/>
  <c r="U16" i="1"/>
  <c r="Q15" i="1"/>
  <c r="J43" i="1"/>
  <c r="T15" i="1"/>
  <c r="L44" i="1"/>
  <c r="S19" i="1"/>
  <c r="J44" i="1"/>
  <c r="L43" i="1"/>
  <c r="K43" i="1"/>
  <c r="H44" i="1"/>
  <c r="I44" i="1"/>
  <c r="I43" i="1"/>
  <c r="H26" i="1"/>
  <c r="I26" i="1"/>
  <c r="M40" i="1"/>
  <c r="J26" i="1"/>
  <c r="N40" i="1"/>
  <c r="H47" i="1"/>
  <c r="M26" i="1"/>
  <c r="N26" i="1"/>
  <c r="K26" i="1"/>
  <c r="L26" i="1"/>
  <c r="J40" i="1"/>
  <c r="I25" i="1"/>
  <c r="I40" i="1"/>
  <c r="K40" i="1"/>
  <c r="H25" i="1"/>
  <c r="L40" i="1"/>
  <c r="J25" i="1"/>
  <c r="N25" i="1"/>
  <c r="M25" i="1"/>
  <c r="K25" i="1"/>
  <c r="I47" i="1"/>
  <c r="L25" i="1"/>
  <c r="H37" i="1"/>
  <c r="H39" i="1" s="1"/>
  <c r="H41" i="1" s="1"/>
  <c r="H55" i="1" s="1"/>
  <c r="Q55" i="1" s="1"/>
  <c r="L37" i="1"/>
  <c r="L39" i="1" s="1"/>
  <c r="J37" i="1"/>
  <c r="J39" i="1" s="1"/>
  <c r="N31" i="1"/>
  <c r="I31" i="1"/>
  <c r="M37" i="1"/>
  <c r="M39" i="1" s="1"/>
  <c r="M31" i="1"/>
  <c r="L31" i="1"/>
  <c r="I37" i="1"/>
  <c r="I39" i="1" s="1"/>
  <c r="J31" i="1"/>
  <c r="K37" i="1"/>
  <c r="K39" i="1" s="1"/>
  <c r="K31" i="1"/>
  <c r="K45" i="1" s="1"/>
  <c r="N37" i="1"/>
  <c r="N39" i="1" s="1"/>
  <c r="F47" i="1"/>
  <c r="S22" i="1" l="1"/>
  <c r="S23" i="1"/>
  <c r="U22" i="1"/>
  <c r="U23" i="1"/>
  <c r="R22" i="1"/>
  <c r="R23" i="1"/>
  <c r="T22" i="1"/>
  <c r="T23" i="1"/>
  <c r="Q22" i="1"/>
  <c r="Q23" i="1"/>
  <c r="H45" i="1"/>
  <c r="H65" i="1" s="1"/>
  <c r="Q65" i="1" s="1"/>
  <c r="M41" i="1"/>
  <c r="M57" i="1" s="1"/>
  <c r="H56" i="1"/>
  <c r="Q56" i="1" s="1"/>
  <c r="M45" i="1"/>
  <c r="M68" i="1" s="1"/>
  <c r="J45" i="1"/>
  <c r="J66" i="1" s="1"/>
  <c r="S66" i="1" s="1"/>
  <c r="L45" i="1"/>
  <c r="L66" i="1" s="1"/>
  <c r="U66" i="1" s="1"/>
  <c r="M65" i="1"/>
  <c r="J67" i="1"/>
  <c r="S67" i="1" s="1"/>
  <c r="I41" i="1"/>
  <c r="I45" i="1"/>
  <c r="M67" i="1"/>
  <c r="N45" i="1"/>
  <c r="N41" i="1"/>
  <c r="J41" i="1"/>
  <c r="H57" i="1"/>
  <c r="Q57" i="1" s="1"/>
  <c r="H54" i="1"/>
  <c r="Q54" i="1" s="1"/>
  <c r="H58" i="1"/>
  <c r="Q58" i="1" s="1"/>
  <c r="K41" i="1"/>
  <c r="K68" i="1"/>
  <c r="T68" i="1" s="1"/>
  <c r="K67" i="1"/>
  <c r="T67" i="1" s="1"/>
  <c r="K64" i="1"/>
  <c r="T64" i="1" s="1"/>
  <c r="K65" i="1"/>
  <c r="T65" i="1" s="1"/>
  <c r="K66" i="1"/>
  <c r="T66" i="1" s="1"/>
  <c r="L41" i="1"/>
  <c r="J64" i="1" l="1"/>
  <c r="S64" i="1" s="1"/>
  <c r="M66" i="1"/>
  <c r="J65" i="1"/>
  <c r="S65" i="1" s="1"/>
  <c r="M56" i="1"/>
  <c r="M55" i="1"/>
  <c r="H68" i="1"/>
  <c r="Q68" i="1" s="1"/>
  <c r="H67" i="1"/>
  <c r="Q67" i="1" s="1"/>
  <c r="H66" i="1"/>
  <c r="Q66" i="1" s="1"/>
  <c r="H64" i="1"/>
  <c r="Q64" i="1" s="1"/>
  <c r="M54" i="1"/>
  <c r="M58" i="1"/>
  <c r="L67" i="1"/>
  <c r="U67" i="1" s="1"/>
  <c r="L65" i="1"/>
  <c r="U65" i="1" s="1"/>
  <c r="L64" i="1"/>
  <c r="U64" i="1" s="1"/>
  <c r="J68" i="1"/>
  <c r="S68" i="1" s="1"/>
  <c r="L68" i="1"/>
  <c r="U68" i="1" s="1"/>
  <c r="M64" i="1"/>
  <c r="J55" i="1"/>
  <c r="S55" i="1" s="1"/>
  <c r="J57" i="1"/>
  <c r="S57" i="1" s="1"/>
  <c r="J58" i="1"/>
  <c r="S58" i="1" s="1"/>
  <c r="J54" i="1"/>
  <c r="S54" i="1" s="1"/>
  <c r="J56" i="1"/>
  <c r="S56" i="1" s="1"/>
  <c r="N56" i="1"/>
  <c r="N58" i="1"/>
  <c r="N54" i="1"/>
  <c r="N55" i="1"/>
  <c r="N57" i="1"/>
  <c r="I55" i="1"/>
  <c r="R55" i="1" s="1"/>
  <c r="I56" i="1"/>
  <c r="R56" i="1" s="1"/>
  <c r="I58" i="1"/>
  <c r="R58" i="1" s="1"/>
  <c r="I54" i="1"/>
  <c r="R54" i="1" s="1"/>
  <c r="I57" i="1"/>
  <c r="R57" i="1" s="1"/>
  <c r="I66" i="1"/>
  <c r="R66" i="1" s="1"/>
  <c r="I68" i="1"/>
  <c r="R68" i="1" s="1"/>
  <c r="I67" i="1"/>
  <c r="R67" i="1" s="1"/>
  <c r="I65" i="1"/>
  <c r="R65" i="1" s="1"/>
  <c r="I64" i="1"/>
  <c r="R64" i="1" s="1"/>
  <c r="N68" i="1"/>
  <c r="N64" i="1"/>
  <c r="N65" i="1"/>
  <c r="N66" i="1"/>
  <c r="N67" i="1"/>
  <c r="K58" i="1"/>
  <c r="T58" i="1" s="1"/>
  <c r="K54" i="1"/>
  <c r="T54" i="1" s="1"/>
  <c r="K55" i="1"/>
  <c r="T55" i="1" s="1"/>
  <c r="K57" i="1"/>
  <c r="T57" i="1" s="1"/>
  <c r="K56" i="1"/>
  <c r="T56" i="1" s="1"/>
  <c r="L54" i="1"/>
  <c r="U54" i="1" s="1"/>
  <c r="L57" i="1"/>
  <c r="U57" i="1" s="1"/>
  <c r="L55" i="1"/>
  <c r="U55" i="1" s="1"/>
  <c r="L58" i="1"/>
  <c r="U58" i="1" s="1"/>
  <c r="L56" i="1"/>
  <c r="U56" i="1" s="1"/>
</calcChain>
</file>

<file path=xl/sharedStrings.xml><?xml version="1.0" encoding="utf-8"?>
<sst xmlns="http://schemas.openxmlformats.org/spreadsheetml/2006/main" count="100" uniqueCount="63">
  <si>
    <t>Default Base Pricing Logic</t>
  </si>
  <si>
    <t>1. Feature Pricing</t>
  </si>
  <si>
    <t>2. RFC Pricing</t>
  </si>
  <si>
    <t>Feature 1 (F1)</t>
  </si>
  <si>
    <t>Feature 2 (F2)</t>
  </si>
  <si>
    <t>Feature 3 (F3)</t>
  </si>
  <si>
    <t>Feature 4 (F4)</t>
  </si>
  <si>
    <t>Feature 5 (F5)</t>
  </si>
  <si>
    <t>RFC#001 (F1,F2,F3)</t>
  </si>
  <si>
    <t>RFC#002 (F1,F3,F4)</t>
  </si>
  <si>
    <t>RFC#003 (F1,F3,F5)</t>
  </si>
  <si>
    <t>RFC#005 (F1,F2,F4)</t>
  </si>
  <si>
    <t>RFC#004 (F1,F2,F4,F5)</t>
  </si>
  <si>
    <t>4. Combined Pricing</t>
  </si>
  <si>
    <t>MRFC#0001 (5 RFC Products)</t>
  </si>
  <si>
    <t>Linked to MRFC #0001</t>
  </si>
  <si>
    <t>Base</t>
  </si>
  <si>
    <t>5. Fixed Pricing</t>
  </si>
  <si>
    <t>Daily Pricing</t>
  </si>
  <si>
    <t>Sales Plan Adjustment</t>
  </si>
  <si>
    <t>Product 1</t>
  </si>
  <si>
    <t>Product 2</t>
  </si>
  <si>
    <t>Product 3</t>
  </si>
  <si>
    <t>Product 4</t>
  </si>
  <si>
    <t>Product 5</t>
  </si>
  <si>
    <t>Units</t>
  </si>
  <si>
    <t>#100,#101,#102</t>
  </si>
  <si>
    <t>#105</t>
  </si>
  <si>
    <t>#103,#104</t>
  </si>
  <si>
    <t>#106</t>
  </si>
  <si>
    <t>#107</t>
  </si>
  <si>
    <t>RFC Products</t>
  </si>
  <si>
    <t xml:space="preserve">3. AVR RFC Pricing  </t>
  </si>
  <si>
    <t>Price - without product availability adjustment</t>
  </si>
  <si>
    <t>Price - with availability adjustment</t>
  </si>
  <si>
    <t>Product Availability</t>
  </si>
  <si>
    <t>Unit Availability</t>
  </si>
  <si>
    <t>Feature Price Adjustment</t>
  </si>
  <si>
    <t>Adjusted Daily Pricing</t>
  </si>
  <si>
    <t>x</t>
  </si>
  <si>
    <t>MRFC Occupancy</t>
  </si>
  <si>
    <t>Total MRFC Value with available units</t>
  </si>
  <si>
    <t>Unit Count</t>
  </si>
  <si>
    <t>MRFC#0001 (5 RFC Products/ 8 units)</t>
  </si>
  <si>
    <t>Real AVR MRFC Product Price</t>
  </si>
  <si>
    <t>OCC% based Logic On</t>
  </si>
  <si>
    <t xml:space="preserve">Daily MRFC#0001 Pricing </t>
  </si>
  <si>
    <t>Floor RFC price</t>
  </si>
  <si>
    <t>Ceiling RFC price</t>
  </si>
  <si>
    <t>Total MRFC Value (8 units)</t>
  </si>
  <si>
    <t>MidPoint Ceiling (avoind too low pricing)</t>
  </si>
  <si>
    <t>Attribute-based Logic</t>
  </si>
  <si>
    <t>Impacts only RFCs and ensures no RFC is sold below the MRFC price</t>
  </si>
  <si>
    <t>RFP Pricing with attribute-based logic</t>
  </si>
  <si>
    <t>Availability Example Scenarios</t>
  </si>
  <si>
    <t>using Value MRFC pricing</t>
  </si>
  <si>
    <t>using Occ% based MRFC pricing</t>
  </si>
  <si>
    <t>Reversed Pricing</t>
  </si>
  <si>
    <t>Reversed Pricing (if MRFC price comes from PMS)</t>
  </si>
  <si>
    <t>Target PMS price</t>
  </si>
  <si>
    <t>Red prices would match target price with attribute-logic</t>
  </si>
  <si>
    <r>
      <t>ERFC1 (</t>
    </r>
    <r>
      <rPr>
        <b/>
        <sz val="12"/>
        <color theme="1"/>
        <rFont val="Aptos Narrow"/>
        <family val="2"/>
        <scheme val="minor"/>
      </rPr>
      <t>AVR</t>
    </r>
    <r>
      <rPr>
        <sz val="12"/>
        <color theme="1"/>
        <rFont val="Aptos Narrow"/>
        <family val="2"/>
        <scheme val="minor"/>
      </rPr>
      <t xml:space="preserve"> RFC#001, FCC#002, RFC#003, RFC#004, RFC#005)</t>
    </r>
  </si>
  <si>
    <r>
      <t>ERFC1 (</t>
    </r>
    <r>
      <rPr>
        <b/>
        <sz val="12"/>
        <color theme="1"/>
        <rFont val="Aptos Narrow"/>
        <family val="2"/>
        <scheme val="minor"/>
      </rPr>
      <t>Combine</t>
    </r>
    <r>
      <rPr>
        <sz val="12"/>
        <color theme="1"/>
        <rFont val="Aptos Narrow"/>
        <family val="2"/>
        <scheme val="minor"/>
      </rPr>
      <t xml:space="preserve"> RFC#001, FCC#002, RFC#003, RFC#004, RFC#005)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</si>
</sst>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b/>
      <sz val="12"/>
      <color theme="8" tint="0.39997558519241921"/>
      <name val="Aptos Narrow"/>
      <scheme val="minor"/>
    </font>
    <font>
      <sz val="12"/>
      <color theme="8" tint="0.3999755851924192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1" xfId="0" applyBorder="1"/>
    <xf numFmtId="1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0" borderId="6" xfId="0" applyNumberFormat="1" applyBorder="1"/>
    <xf numFmtId="1" fontId="0" fillId="0" borderId="1" xfId="0" applyNumberFormat="1" applyBorder="1"/>
    <xf numFmtId="1" fontId="0" fillId="0" borderId="8" xfId="0" applyNumberFormat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5" xfId="0" applyFont="1" applyFill="1" applyBorder="1"/>
    <xf numFmtId="0" fontId="3" fillId="2" borderId="0" xfId="0" applyFont="1" applyFill="1"/>
    <xf numFmtId="0" fontId="3" fillId="2" borderId="6" xfId="0" applyFont="1" applyFill="1" applyBorder="1"/>
    <xf numFmtId="1" fontId="9" fillId="0" borderId="0" xfId="0" applyNumberFormat="1" applyFont="1"/>
    <xf numFmtId="1" fontId="9" fillId="0" borderId="1" xfId="0" applyNumberFormat="1" applyFont="1" applyBorder="1"/>
    <xf numFmtId="1" fontId="9" fillId="0" borderId="6" xfId="0" applyNumberFormat="1" applyFont="1" applyBorder="1"/>
    <xf numFmtId="1" fontId="9" fillId="0" borderId="8" xfId="0" applyNumberFormat="1" applyFont="1" applyBorder="1"/>
    <xf numFmtId="0" fontId="9" fillId="0" borderId="0" xfId="0" applyFont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2" applyFont="1" applyBorder="1" applyAlignment="1">
      <alignment wrapText="1"/>
    </xf>
    <xf numFmtId="0" fontId="3" fillId="2" borderId="0" xfId="0" applyFont="1" applyFill="1" applyBorder="1"/>
    <xf numFmtId="0" fontId="0" fillId="2" borderId="0" xfId="0" applyFill="1" applyBorder="1"/>
    <xf numFmtId="0" fontId="0" fillId="0" borderId="0" xfId="0" applyFont="1"/>
    <xf numFmtId="0" fontId="0" fillId="0" borderId="1" xfId="2" applyFont="1" applyBorder="1" applyAlignment="1">
      <alignment wrapText="1"/>
    </xf>
    <xf numFmtId="0" fontId="0" fillId="0" borderId="12" xfId="2" applyFont="1" applyBorder="1" applyAlignment="1">
      <alignment wrapText="1"/>
    </xf>
    <xf numFmtId="1" fontId="0" fillId="0" borderId="12" xfId="0" applyNumberFormat="1" applyBorder="1"/>
    <xf numFmtId="1" fontId="4" fillId="0" borderId="1" xfId="0" applyNumberFormat="1" applyFont="1" applyBorder="1" applyAlignment="1">
      <alignment horizontal="right"/>
    </xf>
  </cellXfs>
  <cellStyles count="3">
    <cellStyle name="Normal" xfId="0" builtinId="0"/>
    <cellStyle name="Normal 2" xfId="2" xr:uid="{C6FB3BDF-1DA8-4FE9-8FCE-969AC21F94E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5084-28EB-FF4A-9356-823A2BBFA3E0}">
  <dimension ref="A1:V70"/>
  <sheetViews>
    <sheetView tabSelected="1" topLeftCell="E7" workbookViewId="0">
      <selection activeCell="Q29" sqref="Q29"/>
    </sheetView>
  </sheetViews>
  <sheetFormatPr defaultColWidth="10.6640625" defaultRowHeight="16" x14ac:dyDescent="0.4"/>
  <cols>
    <col min="1" max="1" width="43.1640625" customWidth="1"/>
    <col min="2" max="2" width="14.33203125" customWidth="1"/>
    <col min="3" max="3" width="16.33203125" customWidth="1"/>
    <col min="4" max="4" width="6" customWidth="1"/>
    <col min="5" max="5" width="34.33203125" customWidth="1"/>
    <col min="7" max="7" width="23" customWidth="1"/>
    <col min="8" max="8" width="13.1640625" customWidth="1"/>
    <col min="15" max="15" width="8" customWidth="1"/>
    <col min="16" max="16" width="32.58203125" customWidth="1"/>
    <col min="17" max="17" width="12.9140625" customWidth="1"/>
    <col min="18" max="19" width="10.6640625" customWidth="1"/>
  </cols>
  <sheetData>
    <row r="1" spans="1:21" x14ac:dyDescent="0.4">
      <c r="A1" s="2" t="s">
        <v>0</v>
      </c>
      <c r="B1" s="2"/>
      <c r="C1" s="2"/>
      <c r="D1" s="2"/>
      <c r="H1" s="2" t="s">
        <v>18</v>
      </c>
      <c r="P1" s="2" t="s">
        <v>57</v>
      </c>
    </row>
    <row r="3" spans="1:21" x14ac:dyDescent="0.4">
      <c r="G3" s="2" t="s">
        <v>37</v>
      </c>
      <c r="H3" s="4"/>
      <c r="I3" s="4"/>
      <c r="J3" s="4"/>
      <c r="K3" s="4"/>
    </row>
    <row r="4" spans="1:21" x14ac:dyDescent="0.4">
      <c r="A4" t="s">
        <v>1</v>
      </c>
      <c r="F4" s="3" t="s">
        <v>16</v>
      </c>
      <c r="H4" s="2"/>
    </row>
    <row r="5" spans="1:21" x14ac:dyDescent="0.4">
      <c r="E5" t="s">
        <v>3</v>
      </c>
      <c r="F5">
        <v>100</v>
      </c>
      <c r="H5" s="32">
        <v>100</v>
      </c>
      <c r="I5" s="38">
        <v>100</v>
      </c>
      <c r="J5" s="38">
        <v>100</v>
      </c>
      <c r="K5" s="38">
        <v>100</v>
      </c>
      <c r="L5" s="38">
        <v>100</v>
      </c>
      <c r="M5" s="38">
        <v>100</v>
      </c>
      <c r="N5" s="33">
        <v>100</v>
      </c>
    </row>
    <row r="6" spans="1:21" x14ac:dyDescent="0.4">
      <c r="E6" t="s">
        <v>4</v>
      </c>
      <c r="F6">
        <v>40</v>
      </c>
      <c r="H6" s="34">
        <v>40</v>
      </c>
      <c r="I6">
        <v>40</v>
      </c>
      <c r="J6">
        <v>40</v>
      </c>
      <c r="K6">
        <v>40</v>
      </c>
      <c r="L6">
        <v>40</v>
      </c>
      <c r="M6">
        <v>40</v>
      </c>
      <c r="N6" s="35">
        <v>40</v>
      </c>
    </row>
    <row r="7" spans="1:21" x14ac:dyDescent="0.4">
      <c r="E7" t="s">
        <v>5</v>
      </c>
      <c r="F7">
        <v>35</v>
      </c>
      <c r="H7" s="34">
        <v>35</v>
      </c>
      <c r="I7">
        <v>35</v>
      </c>
      <c r="J7">
        <v>35</v>
      </c>
      <c r="K7">
        <v>35</v>
      </c>
      <c r="L7">
        <v>35</v>
      </c>
      <c r="M7">
        <v>35</v>
      </c>
      <c r="N7" s="35">
        <v>35</v>
      </c>
    </row>
    <row r="8" spans="1:21" x14ac:dyDescent="0.4">
      <c r="E8" t="s">
        <v>6</v>
      </c>
      <c r="F8">
        <v>20</v>
      </c>
      <c r="H8" s="34">
        <v>20</v>
      </c>
      <c r="I8">
        <v>20</v>
      </c>
      <c r="J8">
        <v>20</v>
      </c>
      <c r="K8">
        <v>20</v>
      </c>
      <c r="L8">
        <v>20</v>
      </c>
      <c r="M8">
        <v>20</v>
      </c>
      <c r="N8" s="35">
        <v>20</v>
      </c>
    </row>
    <row r="9" spans="1:21" x14ac:dyDescent="0.4">
      <c r="E9" t="s">
        <v>7</v>
      </c>
      <c r="F9">
        <v>10</v>
      </c>
      <c r="H9" s="36">
        <v>10</v>
      </c>
      <c r="I9" s="39">
        <v>10</v>
      </c>
      <c r="J9" s="39">
        <v>10</v>
      </c>
      <c r="K9" s="39">
        <v>10</v>
      </c>
      <c r="L9" s="39">
        <v>10</v>
      </c>
      <c r="M9" s="39">
        <v>10</v>
      </c>
      <c r="N9" s="37">
        <v>10</v>
      </c>
    </row>
    <row r="12" spans="1:21" x14ac:dyDescent="0.4">
      <c r="G12" s="2" t="s">
        <v>19</v>
      </c>
      <c r="H12" s="4">
        <v>0.1</v>
      </c>
      <c r="I12" s="4">
        <v>-0.2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/>
    </row>
    <row r="13" spans="1:21" x14ac:dyDescent="0.4">
      <c r="P13" s="46" t="s">
        <v>58</v>
      </c>
      <c r="Q13" s="47"/>
      <c r="R13" s="48"/>
      <c r="S13" s="48"/>
      <c r="T13" s="48"/>
      <c r="U13" s="49"/>
    </row>
    <row r="14" spans="1:21" ht="42" customHeight="1" x14ac:dyDescent="0.4">
      <c r="A14" t="s">
        <v>2</v>
      </c>
      <c r="B14" s="2" t="s">
        <v>31</v>
      </c>
      <c r="C14" s="2" t="s">
        <v>25</v>
      </c>
      <c r="D14" s="12" t="s">
        <v>42</v>
      </c>
      <c r="E14" t="s">
        <v>15</v>
      </c>
      <c r="P14" s="50" t="s">
        <v>59</v>
      </c>
      <c r="Q14" s="51">
        <v>180</v>
      </c>
      <c r="R14" s="51">
        <v>200</v>
      </c>
      <c r="S14" s="51">
        <v>160</v>
      </c>
      <c r="T14" s="51">
        <v>100</v>
      </c>
      <c r="U14" s="52">
        <v>300</v>
      </c>
    </row>
    <row r="15" spans="1:21" x14ac:dyDescent="0.4">
      <c r="B15" t="s">
        <v>20</v>
      </c>
      <c r="C15" t="s">
        <v>26</v>
      </c>
      <c r="D15">
        <v>3</v>
      </c>
      <c r="E15" t="s">
        <v>8</v>
      </c>
      <c r="F15">
        <f>F5+F7+F6</f>
        <v>175</v>
      </c>
      <c r="H15">
        <f>(H5+H6+H7)+H12*(H5+H6+H7)</f>
        <v>192.5</v>
      </c>
      <c r="I15">
        <f>(I5+I6+I7)+I12*(I5+I6+I7)</f>
        <v>140</v>
      </c>
      <c r="J15">
        <f>(J5+J6+J7)+J12*(J5+J6+J7)</f>
        <v>175</v>
      </c>
      <c r="K15">
        <f>(K5+K6+K7)+K12*(K5+K6+K7)</f>
        <v>175</v>
      </c>
      <c r="L15">
        <f t="shared" ref="L15:N15" si="0">(L5+L6+L7)+L12*(L5+L6+L7)</f>
        <v>175</v>
      </c>
      <c r="M15">
        <f t="shared" si="0"/>
        <v>175</v>
      </c>
      <c r="N15">
        <f t="shared" si="0"/>
        <v>175</v>
      </c>
      <c r="P15" s="34" t="str">
        <f>E15</f>
        <v>RFC#001 (F1,F2,F3)</v>
      </c>
      <c r="Q15" s="42">
        <f xml:space="preserve"> H15 * (Q$14 / AVERAGE(H$15:H$19))</f>
        <v>195.65217391304347</v>
      </c>
      <c r="R15" s="42">
        <f xml:space="preserve"> I15 * (R$14 / AVERAGE(I$15:I$19))</f>
        <v>217.39130434782606</v>
      </c>
      <c r="S15" s="42">
        <f xml:space="preserve"> J15 * (S$14 / AVERAGE(J$15:J$19))</f>
        <v>173.91304347826087</v>
      </c>
      <c r="T15" s="42">
        <f xml:space="preserve"> K15 * (T$14 / AVERAGE(K$15:K$19))</f>
        <v>108.69565217391303</v>
      </c>
      <c r="U15" s="43">
        <f xml:space="preserve"> L15 * (U$14 / AVERAGE(L$15:L$19))</f>
        <v>326.08695652173913</v>
      </c>
    </row>
    <row r="16" spans="1:21" x14ac:dyDescent="0.4">
      <c r="B16" t="s">
        <v>21</v>
      </c>
      <c r="C16" t="s">
        <v>28</v>
      </c>
      <c r="D16">
        <v>2</v>
      </c>
      <c r="E16" t="s">
        <v>9</v>
      </c>
      <c r="F16">
        <f>F5+F7+F8</f>
        <v>155</v>
      </c>
      <c r="H16">
        <f>(H5+H7+H8)+H12*(H5+H7+H8)</f>
        <v>170.5</v>
      </c>
      <c r="I16">
        <f t="shared" ref="I16:K16" si="1">(I5+I7+I8)+I12*(I5+I7+I8)</f>
        <v>124</v>
      </c>
      <c r="J16">
        <f t="shared" si="1"/>
        <v>155</v>
      </c>
      <c r="K16">
        <f t="shared" si="1"/>
        <v>155</v>
      </c>
      <c r="L16">
        <f t="shared" ref="L16:N16" si="2">(L5+L7+L8)+L12*(L5+L7+L8)</f>
        <v>155</v>
      </c>
      <c r="M16">
        <f t="shared" si="2"/>
        <v>155</v>
      </c>
      <c r="N16">
        <f t="shared" si="2"/>
        <v>155</v>
      </c>
      <c r="P16" s="34" t="str">
        <f t="shared" ref="P16:P19" si="3">E16</f>
        <v>RFC#002 (F1,F3,F4)</v>
      </c>
      <c r="Q16" s="42">
        <f t="shared" ref="Q16:Q19" si="4" xml:space="preserve"> H16 * (Q$14 / AVERAGE(H$15:H$19))</f>
        <v>173.29192546583852</v>
      </c>
      <c r="R16" s="42">
        <f t="shared" ref="R16:U19" si="5" xml:space="preserve"> I16 * (R$14 / AVERAGE(I$15:I$19))</f>
        <v>192.54658385093165</v>
      </c>
      <c r="S16" s="42">
        <f t="shared" si="5"/>
        <v>154.03726708074535</v>
      </c>
      <c r="T16" s="42">
        <f t="shared" si="5"/>
        <v>96.273291925465827</v>
      </c>
      <c r="U16" s="43">
        <f t="shared" si="5"/>
        <v>288.81987577639751</v>
      </c>
    </row>
    <row r="17" spans="1:21" x14ac:dyDescent="0.4">
      <c r="B17" t="s">
        <v>22</v>
      </c>
      <c r="C17" t="s">
        <v>27</v>
      </c>
      <c r="D17">
        <v>1</v>
      </c>
      <c r="E17" t="s">
        <v>10</v>
      </c>
      <c r="F17">
        <f>F5+F7+F9</f>
        <v>145</v>
      </c>
      <c r="H17">
        <f>(H5+H7+H9)+H12*(H5+H7+H9)</f>
        <v>159.5</v>
      </c>
      <c r="I17">
        <f t="shared" ref="I17:K17" si="6">(I5+I7+I9)+I12*(I5+I7+I9)</f>
        <v>116</v>
      </c>
      <c r="J17">
        <f t="shared" si="6"/>
        <v>145</v>
      </c>
      <c r="K17">
        <f t="shared" si="6"/>
        <v>145</v>
      </c>
      <c r="L17">
        <f t="shared" ref="L17:N17" si="7">(L5+L7+L9)+L12*(L5+L7+L9)</f>
        <v>145</v>
      </c>
      <c r="M17">
        <f t="shared" si="7"/>
        <v>145</v>
      </c>
      <c r="N17">
        <f t="shared" si="7"/>
        <v>145</v>
      </c>
      <c r="P17" s="34" t="str">
        <f t="shared" si="3"/>
        <v>RFC#003 (F1,F3,F5)</v>
      </c>
      <c r="Q17" s="42">
        <f t="shared" si="4"/>
        <v>162.11180124223603</v>
      </c>
      <c r="R17" s="42">
        <f t="shared" si="5"/>
        <v>180.12422360248445</v>
      </c>
      <c r="S17" s="42">
        <f t="shared" si="5"/>
        <v>144.09937888198758</v>
      </c>
      <c r="T17" s="42">
        <f t="shared" si="5"/>
        <v>90.062111801242224</v>
      </c>
      <c r="U17" s="43">
        <f t="shared" si="5"/>
        <v>270.18633540372673</v>
      </c>
    </row>
    <row r="18" spans="1:21" x14ac:dyDescent="0.4">
      <c r="B18" t="s">
        <v>23</v>
      </c>
      <c r="C18" t="s">
        <v>29</v>
      </c>
      <c r="D18">
        <v>1</v>
      </c>
      <c r="E18" t="s">
        <v>12</v>
      </c>
      <c r="F18">
        <f>F5+F6+F8+F9</f>
        <v>170</v>
      </c>
      <c r="H18">
        <f>(H5+H6+H8+H9)+H12*(H5+H6+H8+H9)</f>
        <v>187</v>
      </c>
      <c r="I18">
        <f t="shared" ref="I18:K18" si="8">(I5+I6+I8+I9)+I12*(I5+I6+I8+I9)</f>
        <v>136</v>
      </c>
      <c r="J18">
        <f t="shared" si="8"/>
        <v>170</v>
      </c>
      <c r="K18">
        <f t="shared" si="8"/>
        <v>170</v>
      </c>
      <c r="L18">
        <f t="shared" ref="L18:N18" si="9">(L5+L6+L8+L9)+L12*(L5+L6+L8+L9)</f>
        <v>170</v>
      </c>
      <c r="M18">
        <f t="shared" si="9"/>
        <v>170</v>
      </c>
      <c r="N18">
        <f t="shared" si="9"/>
        <v>170</v>
      </c>
      <c r="P18" s="34" t="str">
        <f t="shared" si="3"/>
        <v>RFC#004 (F1,F2,F4,F5)</v>
      </c>
      <c r="Q18" s="42">
        <f t="shared" si="4"/>
        <v>190.06211180124222</v>
      </c>
      <c r="R18" s="42">
        <f t="shared" si="5"/>
        <v>211.18012422360246</v>
      </c>
      <c r="S18" s="42">
        <f t="shared" si="5"/>
        <v>168.94409937888199</v>
      </c>
      <c r="T18" s="42">
        <f t="shared" si="5"/>
        <v>105.59006211180123</v>
      </c>
      <c r="U18" s="43">
        <f t="shared" si="5"/>
        <v>316.77018633540371</v>
      </c>
    </row>
    <row r="19" spans="1:21" x14ac:dyDescent="0.4">
      <c r="B19" t="s">
        <v>24</v>
      </c>
      <c r="C19" t="s">
        <v>30</v>
      </c>
      <c r="D19">
        <v>1</v>
      </c>
      <c r="E19" t="s">
        <v>11</v>
      </c>
      <c r="F19">
        <f>F5+F6+F8</f>
        <v>160</v>
      </c>
      <c r="H19">
        <f>(H5+H6+H8)+H12*(H5+H6+H8)</f>
        <v>176</v>
      </c>
      <c r="I19">
        <f t="shared" ref="I19:K19" si="10">(I5+I6+I8)+I12*(I5+I6+I8)</f>
        <v>128</v>
      </c>
      <c r="J19">
        <f t="shared" si="10"/>
        <v>160</v>
      </c>
      <c r="K19">
        <f t="shared" si="10"/>
        <v>160</v>
      </c>
      <c r="L19">
        <f t="shared" ref="L19:N19" si="11">(L5+L6+L8)+L12*(L5+L6+L8)</f>
        <v>160</v>
      </c>
      <c r="M19">
        <f t="shared" si="11"/>
        <v>160</v>
      </c>
      <c r="N19">
        <f t="shared" si="11"/>
        <v>160</v>
      </c>
      <c r="P19" s="36" t="str">
        <f t="shared" si="3"/>
        <v>RFC#005 (F1,F2,F4)</v>
      </c>
      <c r="Q19" s="44">
        <f t="shared" si="4"/>
        <v>178.88198757763976</v>
      </c>
      <c r="R19" s="44">
        <f t="shared" si="5"/>
        <v>198.75776397515526</v>
      </c>
      <c r="S19" s="44">
        <f t="shared" si="5"/>
        <v>159.00621118012421</v>
      </c>
      <c r="T19" s="44">
        <f t="shared" si="5"/>
        <v>99.378881987577628</v>
      </c>
      <c r="U19" s="45">
        <f t="shared" si="5"/>
        <v>298.13664596273293</v>
      </c>
    </row>
    <row r="20" spans="1:21" x14ac:dyDescent="0.4">
      <c r="D20">
        <f>SUM(D15:D19)</f>
        <v>8</v>
      </c>
    </row>
    <row r="21" spans="1:21" x14ac:dyDescent="0.4">
      <c r="A21" t="s">
        <v>32</v>
      </c>
      <c r="F21">
        <f>AVERAGE(F15:F19)</f>
        <v>161</v>
      </c>
      <c r="P21" s="62" t="s">
        <v>58</v>
      </c>
      <c r="Q21" s="63"/>
    </row>
    <row r="22" spans="1:21" ht="32" x14ac:dyDescent="0.4">
      <c r="E22" s="61" t="s">
        <v>61</v>
      </c>
      <c r="F22">
        <f>AVERAGE(F15:F19)</f>
        <v>161</v>
      </c>
      <c r="H22">
        <f t="shared" ref="H22:N22" si="12">AVERAGE(H15:H19)</f>
        <v>177.1</v>
      </c>
      <c r="I22">
        <f t="shared" si="12"/>
        <v>128.80000000000001</v>
      </c>
      <c r="J22">
        <f t="shared" si="12"/>
        <v>161</v>
      </c>
      <c r="K22">
        <f t="shared" si="12"/>
        <v>161</v>
      </c>
      <c r="L22">
        <f t="shared" si="12"/>
        <v>161</v>
      </c>
      <c r="M22">
        <f t="shared" si="12"/>
        <v>161</v>
      </c>
      <c r="N22">
        <f t="shared" si="12"/>
        <v>161</v>
      </c>
      <c r="P22" s="61" t="s">
        <v>61</v>
      </c>
      <c r="Q22">
        <f t="shared" ref="Q22:U22" si="13">AVERAGE(Q15:Q19)</f>
        <v>180.00000000000003</v>
      </c>
      <c r="R22">
        <f t="shared" si="13"/>
        <v>199.99999999999997</v>
      </c>
      <c r="S22">
        <f t="shared" si="13"/>
        <v>160</v>
      </c>
      <c r="T22">
        <f t="shared" si="13"/>
        <v>99.999999999999986</v>
      </c>
      <c r="U22">
        <f t="shared" si="13"/>
        <v>300</v>
      </c>
    </row>
    <row r="23" spans="1:21" ht="32" x14ac:dyDescent="0.4">
      <c r="E23" s="61" t="s">
        <v>62</v>
      </c>
      <c r="F23">
        <f>SUM(F15:F19)</f>
        <v>805</v>
      </c>
      <c r="H23">
        <f t="shared" ref="H23:N23" si="14">SUM(H15:H19)</f>
        <v>885.5</v>
      </c>
      <c r="I23">
        <f t="shared" si="14"/>
        <v>644</v>
      </c>
      <c r="J23">
        <f t="shared" si="14"/>
        <v>805</v>
      </c>
      <c r="K23">
        <f t="shared" si="14"/>
        <v>805</v>
      </c>
      <c r="L23">
        <f t="shared" si="14"/>
        <v>805</v>
      </c>
      <c r="M23">
        <f t="shared" si="14"/>
        <v>805</v>
      </c>
      <c r="N23">
        <f t="shared" si="14"/>
        <v>805</v>
      </c>
      <c r="P23" s="61" t="s">
        <v>62</v>
      </c>
      <c r="Q23">
        <f t="shared" ref="Q23:U23" si="15">SUM(Q15:Q19)</f>
        <v>900.00000000000011</v>
      </c>
      <c r="R23">
        <f t="shared" si="15"/>
        <v>999.99999999999989</v>
      </c>
      <c r="S23">
        <f t="shared" si="15"/>
        <v>800</v>
      </c>
      <c r="T23">
        <f t="shared" si="15"/>
        <v>499.99999999999994</v>
      </c>
      <c r="U23">
        <f t="shared" si="15"/>
        <v>1500</v>
      </c>
    </row>
    <row r="25" spans="1:21" x14ac:dyDescent="0.4">
      <c r="A25" s="5" t="s">
        <v>33</v>
      </c>
      <c r="B25" s="5"/>
      <c r="C25" s="5"/>
      <c r="D25" s="5"/>
      <c r="E25" s="2" t="s">
        <v>43</v>
      </c>
      <c r="F25" s="2">
        <f>F26/D20</f>
        <v>163.75</v>
      </c>
      <c r="G25" s="5"/>
      <c r="H25" s="6">
        <f>(H15*$D$15+H16*$D$16+H17*$D$17+H18*$D$18+H19*$D$19)/$D$20</f>
        <v>180.125</v>
      </c>
      <c r="I25" s="14">
        <f>(I15*$D$15+I16*$D$16+I17*$D$17+I18*$D$18+I19*$D$19)/$D$20</f>
        <v>131</v>
      </c>
      <c r="J25" s="14">
        <f>(J15*$D$15+J16*$D$16+J17*$D$17+J18*$D$18+J19*$D$19)/$D$20</f>
        <v>163.75</v>
      </c>
      <c r="K25" s="14">
        <f>(K15*$D$15+K16*$D$16+K17*$D$17+K18*$D$18+K19*$D$19)/$D$20</f>
        <v>163.75</v>
      </c>
      <c r="L25" s="14">
        <f>(L15*$D$15+L16*$D$16+L17*$D$17+L18*$D$18+L19*$D$19)/$D$20</f>
        <v>163.75</v>
      </c>
      <c r="M25" s="14">
        <f>(M15*$D$15+M16*$D$16+M17*$D$17+M18*$D$18+M19*$D$19)/$D$20</f>
        <v>163.75</v>
      </c>
      <c r="N25" s="14">
        <f>(N15*$D$15+N16*$D$16+N17*$D$17+N18*$D$18+N19*$D$19)/$D$20</f>
        <v>163.75</v>
      </c>
      <c r="O25" s="14"/>
    </row>
    <row r="26" spans="1:21" x14ac:dyDescent="0.4">
      <c r="A26" s="5"/>
      <c r="B26" s="5"/>
      <c r="C26" s="5"/>
      <c r="D26" s="5"/>
      <c r="E26" s="64" t="s">
        <v>49</v>
      </c>
      <c r="F26" s="5">
        <f>F15*$D15+F16*$D16+F17*$D17+F18*$D18+F19*$D19</f>
        <v>1310</v>
      </c>
      <c r="G26" s="5"/>
      <c r="H26" s="6">
        <f>H15*$D15+H16*$D16+H17*$D17+H18*$D18+H19*$D19</f>
        <v>1441</v>
      </c>
      <c r="I26" s="6">
        <f>I15*$D15+I16*$D16+I17*$D17+I18*$D18+I19*$D19</f>
        <v>1048</v>
      </c>
      <c r="J26" s="6">
        <f>J15*$D15+J16*$D16+J17*$D17+J18*$D18+J19*$D19</f>
        <v>1310</v>
      </c>
      <c r="K26" s="6">
        <f>K15*$D15+K16*$D16+K17*$D17+K18*$D18+K19*$D19</f>
        <v>1310</v>
      </c>
      <c r="L26" s="6">
        <f>L15*$D15+L16*$D16+L17*$D17+L18*$D18+L19*$D19</f>
        <v>1310</v>
      </c>
      <c r="M26" s="6">
        <f>M15*$D15+M16*$D16+M17*$D17+M18*$D18+M19*$D19</f>
        <v>1310</v>
      </c>
      <c r="N26" s="6">
        <f>N15*$D15+N16*$D16+N17*$D17+N18*$D18+N19*$D19</f>
        <v>1310</v>
      </c>
      <c r="O26" s="6"/>
    </row>
    <row r="27" spans="1:21" x14ac:dyDescent="0.4">
      <c r="A27" s="5"/>
      <c r="B27" s="5"/>
      <c r="C27" s="5"/>
      <c r="D27" s="5"/>
      <c r="E27" s="2"/>
      <c r="F27" s="2"/>
      <c r="G27" s="5"/>
      <c r="H27" s="6"/>
      <c r="I27" s="6"/>
      <c r="J27" s="6"/>
      <c r="K27" s="6"/>
      <c r="L27" s="6"/>
      <c r="M27" s="6"/>
      <c r="N27" s="6"/>
      <c r="O27" s="6"/>
      <c r="Q27" s="42"/>
      <c r="R27" s="42"/>
    </row>
    <row r="28" spans="1:21" x14ac:dyDescent="0.4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</row>
    <row r="29" spans="1:21" x14ac:dyDescent="0.4">
      <c r="A29" s="2" t="s">
        <v>34</v>
      </c>
      <c r="E29" s="2" t="s">
        <v>35</v>
      </c>
      <c r="H29" s="1">
        <f>COUNTIF(H32:H36, "&lt;&gt;0")</f>
        <v>5</v>
      </c>
      <c r="I29" s="1">
        <f t="shared" ref="I29:M29" si="16">COUNTIF(I32:I36, "&lt;&gt;0")</f>
        <v>5</v>
      </c>
      <c r="J29" s="1">
        <f t="shared" si="16"/>
        <v>4</v>
      </c>
      <c r="K29" s="1">
        <f t="shared" si="16"/>
        <v>3</v>
      </c>
      <c r="L29" s="1">
        <f t="shared" si="16"/>
        <v>3</v>
      </c>
      <c r="M29" s="1">
        <f t="shared" si="16"/>
        <v>2</v>
      </c>
      <c r="N29" s="1">
        <f>COUNTIF(N32:N36, "&lt;&gt;0")</f>
        <v>1</v>
      </c>
      <c r="O29" s="1"/>
    </row>
    <row r="30" spans="1:21" x14ac:dyDescent="0.4">
      <c r="A30" s="2"/>
      <c r="E30" s="2" t="s">
        <v>36</v>
      </c>
      <c r="H30" s="1">
        <f>SUM(H32:H36)</f>
        <v>8</v>
      </c>
      <c r="I30" s="1">
        <f>SUM(I32:I36)</f>
        <v>6</v>
      </c>
      <c r="J30" s="1">
        <f t="shared" ref="J30:N30" si="17">SUM(J32:J36)</f>
        <v>5</v>
      </c>
      <c r="K30" s="1">
        <f t="shared" si="17"/>
        <v>3</v>
      </c>
      <c r="L30" s="1">
        <f t="shared" si="17"/>
        <v>3</v>
      </c>
      <c r="M30" s="1">
        <f t="shared" si="17"/>
        <v>2</v>
      </c>
      <c r="N30" s="1">
        <f t="shared" si="17"/>
        <v>1</v>
      </c>
      <c r="O30" s="1"/>
    </row>
    <row r="31" spans="1:21" x14ac:dyDescent="0.4">
      <c r="A31" s="2"/>
      <c r="E31" s="2" t="s">
        <v>40</v>
      </c>
      <c r="H31" s="7">
        <v>0</v>
      </c>
      <c r="I31" s="8">
        <f>1-I30/$H30</f>
        <v>0.25</v>
      </c>
      <c r="J31" s="8">
        <f t="shared" ref="J31:K31" si="18">1-J30/$H30</f>
        <v>0.375</v>
      </c>
      <c r="K31" s="8">
        <f t="shared" si="18"/>
        <v>0.625</v>
      </c>
      <c r="L31" s="8">
        <f>1-L30/$H30</f>
        <v>0.625</v>
      </c>
      <c r="M31" s="8">
        <f t="shared" ref="M31" si="19">1-M30/$H30</f>
        <v>0.75</v>
      </c>
      <c r="N31" s="8">
        <f>1-N30/$H30</f>
        <v>0.875</v>
      </c>
      <c r="O31" s="8"/>
    </row>
    <row r="32" spans="1:21" x14ac:dyDescent="0.4">
      <c r="B32" s="2"/>
      <c r="C32" s="2"/>
      <c r="D32" s="2"/>
      <c r="E32" s="32" t="s">
        <v>8</v>
      </c>
      <c r="F32" s="33"/>
      <c r="G32" s="58" t="s">
        <v>54</v>
      </c>
      <c r="H32" s="24">
        <v>3</v>
      </c>
      <c r="I32" s="25">
        <v>2</v>
      </c>
      <c r="J32" s="25">
        <v>2</v>
      </c>
      <c r="K32" s="25">
        <v>1</v>
      </c>
      <c r="L32" s="25">
        <v>0</v>
      </c>
      <c r="M32" s="25">
        <v>0</v>
      </c>
      <c r="N32" s="26">
        <v>1</v>
      </c>
      <c r="O32" s="1"/>
    </row>
    <row r="33" spans="1:16" x14ac:dyDescent="0.4">
      <c r="E33" s="34" t="s">
        <v>9</v>
      </c>
      <c r="F33" s="35"/>
      <c r="G33" s="59"/>
      <c r="H33" s="27">
        <v>2</v>
      </c>
      <c r="I33" s="1">
        <v>1</v>
      </c>
      <c r="J33" s="1">
        <v>0</v>
      </c>
      <c r="K33" s="1">
        <v>1</v>
      </c>
      <c r="L33" s="1">
        <v>1</v>
      </c>
      <c r="M33" s="1">
        <v>0</v>
      </c>
      <c r="N33" s="28">
        <v>0</v>
      </c>
      <c r="O33" s="1"/>
    </row>
    <row r="34" spans="1:16" x14ac:dyDescent="0.4">
      <c r="E34" s="34" t="s">
        <v>10</v>
      </c>
      <c r="F34" s="35"/>
      <c r="G34" s="59"/>
      <c r="H34" s="27">
        <v>1</v>
      </c>
      <c r="I34" s="1">
        <v>1</v>
      </c>
      <c r="J34" s="1">
        <v>1</v>
      </c>
      <c r="K34" s="1">
        <v>0</v>
      </c>
      <c r="L34" s="1">
        <v>1</v>
      </c>
      <c r="M34" s="1">
        <v>1</v>
      </c>
      <c r="N34" s="28">
        <v>0</v>
      </c>
      <c r="O34" s="1"/>
    </row>
    <row r="35" spans="1:16" x14ac:dyDescent="0.4">
      <c r="E35" s="34" t="s">
        <v>12</v>
      </c>
      <c r="F35" s="35"/>
      <c r="G35" s="59"/>
      <c r="H35" s="27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28">
        <v>0</v>
      </c>
      <c r="O35" s="1"/>
    </row>
    <row r="36" spans="1:16" x14ac:dyDescent="0.4">
      <c r="E36" s="36" t="s">
        <v>11</v>
      </c>
      <c r="F36" s="37"/>
      <c r="G36" s="60"/>
      <c r="H36" s="29">
        <v>1</v>
      </c>
      <c r="I36" s="30">
        <v>1</v>
      </c>
      <c r="J36" s="30">
        <v>1</v>
      </c>
      <c r="K36" s="30">
        <v>1</v>
      </c>
      <c r="L36" s="30">
        <v>1</v>
      </c>
      <c r="M36" s="30">
        <v>1</v>
      </c>
      <c r="N36" s="31">
        <v>0</v>
      </c>
      <c r="O36" s="1"/>
    </row>
    <row r="37" spans="1:16" x14ac:dyDescent="0.4">
      <c r="A37" s="2" t="s">
        <v>38</v>
      </c>
      <c r="E37" s="5" t="s">
        <v>41</v>
      </c>
      <c r="H37" s="1">
        <f>H32*H15+H33*H16+H34*H17+H35*H18+H36*H19</f>
        <v>1441</v>
      </c>
      <c r="I37" s="1">
        <f>I32*I15+I33*I16+I34*I17+I35*I18+I36*I19</f>
        <v>784</v>
      </c>
      <c r="J37" s="1">
        <f>J32*J15+J33*J16+J34*J17+J35*J18+J36*J19</f>
        <v>825</v>
      </c>
      <c r="K37" s="1">
        <f>K32*K15+K33*K16+K34*K17+K35*K18+K36*K19</f>
        <v>490</v>
      </c>
      <c r="L37" s="1">
        <f>L32*L15+L33*L16+L34*L17+L35*L18+L36*L19</f>
        <v>460</v>
      </c>
      <c r="M37" s="1">
        <f>M32*M15+M33*M16+M34*M17+M35*M18+M36*M19</f>
        <v>305</v>
      </c>
      <c r="N37" s="1">
        <f>N32*N15+N33*N16+N34*N17+N35*N18+N36*N19</f>
        <v>175</v>
      </c>
      <c r="O37" s="1"/>
    </row>
    <row r="38" spans="1:16" x14ac:dyDescent="0.4">
      <c r="A38" s="2"/>
      <c r="E38" s="5"/>
      <c r="H38" s="9"/>
      <c r="I38" s="9"/>
      <c r="J38" s="9"/>
      <c r="K38" s="9"/>
      <c r="L38" s="9"/>
      <c r="M38" s="9"/>
      <c r="N38" s="9"/>
      <c r="O38" s="9"/>
    </row>
    <row r="39" spans="1:16" x14ac:dyDescent="0.4">
      <c r="E39" s="2" t="s">
        <v>44</v>
      </c>
      <c r="F39" s="2"/>
      <c r="G39" s="2"/>
      <c r="H39" s="13">
        <f>H37/H30</f>
        <v>180.125</v>
      </c>
      <c r="I39" s="13">
        <f t="shared" ref="I39:N39" si="20">I37/I30</f>
        <v>130.66666666666666</v>
      </c>
      <c r="J39" s="13">
        <f t="shared" si="20"/>
        <v>165</v>
      </c>
      <c r="K39" s="13">
        <f t="shared" si="20"/>
        <v>163.33333333333334</v>
      </c>
      <c r="L39" s="13">
        <f t="shared" si="20"/>
        <v>153.33333333333334</v>
      </c>
      <c r="M39" s="13">
        <f t="shared" si="20"/>
        <v>152.5</v>
      </c>
      <c r="N39" s="13">
        <f t="shared" si="20"/>
        <v>175</v>
      </c>
      <c r="O39" s="13"/>
      <c r="P39" s="11"/>
    </row>
    <row r="40" spans="1:16" x14ac:dyDescent="0.4">
      <c r="E40" s="5" t="s">
        <v>50</v>
      </c>
      <c r="H40" s="10">
        <f>(MIN(H15:H19) + MAX(H15:H19)) / 2</f>
        <v>176</v>
      </c>
      <c r="I40" s="10">
        <f>(MIN(I15:I19) + MAX(I15:I19)) / 2</f>
        <v>128</v>
      </c>
      <c r="J40" s="10">
        <f>(MIN(J15:J19) + MAX(J15:J19)) / 2</f>
        <v>160</v>
      </c>
      <c r="K40" s="10">
        <f>(MIN(K15:K19) + MAX(K15:K19)) / 2</f>
        <v>160</v>
      </c>
      <c r="L40" s="10">
        <f>(MIN(L15:L19) + MAX(L15:L19)) / 2</f>
        <v>160</v>
      </c>
      <c r="M40" s="10">
        <f>(MIN(M15:M19) + MAX(M15:M19)) / 2</f>
        <v>160</v>
      </c>
      <c r="N40" s="10">
        <f>(MIN(N15:N19) + MAX(N15:N19)) / 2</f>
        <v>160</v>
      </c>
      <c r="O40" s="10"/>
    </row>
    <row r="41" spans="1:16" x14ac:dyDescent="0.4">
      <c r="E41" s="20" t="s">
        <v>46</v>
      </c>
      <c r="F41" s="21"/>
      <c r="G41" s="21"/>
      <c r="H41" s="22">
        <f>MAX(H39, H40)</f>
        <v>180.125</v>
      </c>
      <c r="I41" s="22">
        <f t="shared" ref="I41:N41" si="21">MAX(I39, I40)</f>
        <v>130.66666666666666</v>
      </c>
      <c r="J41" s="22">
        <f t="shared" si="21"/>
        <v>165</v>
      </c>
      <c r="K41" s="22">
        <f t="shared" si="21"/>
        <v>163.33333333333334</v>
      </c>
      <c r="L41" s="22">
        <f t="shared" si="21"/>
        <v>160</v>
      </c>
      <c r="M41" s="22">
        <f t="shared" si="21"/>
        <v>160</v>
      </c>
      <c r="N41" s="22">
        <f t="shared" si="21"/>
        <v>175</v>
      </c>
      <c r="O41" s="40"/>
    </row>
    <row r="42" spans="1:16" x14ac:dyDescent="0.4">
      <c r="E42" s="15" t="s">
        <v>45</v>
      </c>
      <c r="F42" s="16"/>
      <c r="G42" s="16"/>
      <c r="H42" s="17"/>
      <c r="I42" s="17"/>
      <c r="J42" s="17"/>
      <c r="K42" s="17"/>
      <c r="L42" s="17"/>
      <c r="M42" s="17"/>
      <c r="N42" s="17"/>
      <c r="O42" s="17"/>
    </row>
    <row r="43" spans="1:16" x14ac:dyDescent="0.4">
      <c r="E43" s="16" t="s">
        <v>47</v>
      </c>
      <c r="F43" s="16"/>
      <c r="G43" s="16"/>
      <c r="H43" s="18">
        <f>MIN(H15:H19)</f>
        <v>159.5</v>
      </c>
      <c r="I43" s="18">
        <f>MIN(I15:I19)</f>
        <v>116</v>
      </c>
      <c r="J43" s="18">
        <f>MIN(J15:J19)</f>
        <v>145</v>
      </c>
      <c r="K43" s="18">
        <f>MIN(K15:K19)</f>
        <v>145</v>
      </c>
      <c r="L43" s="18">
        <f>MIN(L15:L19)</f>
        <v>145</v>
      </c>
      <c r="M43" s="18">
        <f>MIN(M15:M19)</f>
        <v>145</v>
      </c>
      <c r="N43" s="18">
        <f>MIN(N15:N19)</f>
        <v>145</v>
      </c>
      <c r="O43" s="18"/>
    </row>
    <row r="44" spans="1:16" x14ac:dyDescent="0.4">
      <c r="E44" s="16" t="s">
        <v>48</v>
      </c>
      <c r="F44" s="16"/>
      <c r="G44" s="16"/>
      <c r="H44" s="18">
        <f>MAX(H15:H19)</f>
        <v>192.5</v>
      </c>
      <c r="I44" s="18">
        <f>MAX(I15:I19)</f>
        <v>140</v>
      </c>
      <c r="J44" s="18">
        <f>MAX(J15:J19)</f>
        <v>175</v>
      </c>
      <c r="K44" s="18">
        <f>MAX(K15:K19)</f>
        <v>175</v>
      </c>
      <c r="L44" s="18">
        <f>MAX(L15:L19)</f>
        <v>175</v>
      </c>
      <c r="M44" s="18">
        <f>MAX(M15:M19)</f>
        <v>175</v>
      </c>
      <c r="N44" s="18">
        <f>MAX(N15:N19)</f>
        <v>175</v>
      </c>
      <c r="O44" s="18"/>
    </row>
    <row r="45" spans="1:16" x14ac:dyDescent="0.4">
      <c r="E45" s="20" t="s">
        <v>46</v>
      </c>
      <c r="F45" s="21"/>
      <c r="G45" s="21"/>
      <c r="H45" s="23">
        <f>IF(H31&lt;=0.5, H43 + (H44-H43)*(H31/0.5)*0.5, H43 + (H44-H43)*(0.5 + ((H31-0.5)/0.5)^0.2*0.5))</f>
        <v>159.5</v>
      </c>
      <c r="I45" s="23">
        <f t="shared" ref="I45:L45" si="22">IF(I31&lt;=0.5, I43 + (I44-I43)*(I31/0.5)*0.5, I43 + (I44-I43)*(0.5 + ((I31-0.5)/0.5)^0.2*0.5))</f>
        <v>122</v>
      </c>
      <c r="J45" s="23">
        <f t="shared" si="22"/>
        <v>156.25</v>
      </c>
      <c r="K45" s="23">
        <f t="shared" si="22"/>
        <v>171.36787424882797</v>
      </c>
      <c r="L45" s="23">
        <f t="shared" si="22"/>
        <v>171.36787424882797</v>
      </c>
      <c r="M45" s="23">
        <f>IF(M31&lt;=0.5, M43 + (M44-M43)*(M31/0.5)*0.5, M43 + (M44-M43)*(0.5 + ((M31-0.5)/0.5)^0.2*0.5))</f>
        <v>173.05825844944187</v>
      </c>
      <c r="N45" s="23">
        <f t="shared" ref="N45" si="23">IF(N31&lt;=0.5, N43 + (N44-N43)*(N31/0.5)*0.5, N43 + (N44-N43)*(0.5 + ((N31-0.5)/0.5)^0.2*0.5))</f>
        <v>174.16131266942352</v>
      </c>
      <c r="O45" s="41"/>
    </row>
    <row r="47" spans="1:16" x14ac:dyDescent="0.4">
      <c r="A47" t="s">
        <v>13</v>
      </c>
      <c r="E47" s="2" t="s">
        <v>14</v>
      </c>
      <c r="F47" s="2">
        <f>SUM(F15:F19)</f>
        <v>805</v>
      </c>
      <c r="G47" s="2"/>
      <c r="H47" s="3">
        <f>SUM(H15:H19)</f>
        <v>885.5</v>
      </c>
      <c r="I47" s="3">
        <f>SUM(I15:I19)</f>
        <v>644</v>
      </c>
      <c r="J47" s="3" t="s">
        <v>39</v>
      </c>
      <c r="K47" s="3" t="s">
        <v>39</v>
      </c>
      <c r="L47" s="3" t="s">
        <v>39</v>
      </c>
      <c r="M47" s="3" t="s">
        <v>39</v>
      </c>
      <c r="N47" s="3" t="s">
        <v>39</v>
      </c>
      <c r="O47" s="3"/>
      <c r="P47" s="1"/>
    </row>
    <row r="48" spans="1:16" x14ac:dyDescent="0.4"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1"/>
    </row>
    <row r="49" spans="1:22" x14ac:dyDescent="0.4">
      <c r="A49" t="s">
        <v>17</v>
      </c>
      <c r="E49" s="2" t="s">
        <v>14</v>
      </c>
      <c r="F49" s="2">
        <v>160</v>
      </c>
      <c r="G49" s="2"/>
      <c r="H49" s="3">
        <f>$F$49+$F$49*H12</f>
        <v>176</v>
      </c>
      <c r="I49" s="3">
        <f>$F$49+$F$49*I12</f>
        <v>128</v>
      </c>
      <c r="J49" s="3">
        <f>$F$49+$F$49*J12</f>
        <v>160</v>
      </c>
      <c r="K49" s="3">
        <f>$F$49+$F$49*K12</f>
        <v>160</v>
      </c>
      <c r="L49" s="3">
        <f>$F$49+$F$49*L12</f>
        <v>160</v>
      </c>
      <c r="M49" s="3">
        <f>$F$49+$F$49*M12</f>
        <v>160</v>
      </c>
      <c r="N49" s="3">
        <f>$F$49+$F$49*N12</f>
        <v>160</v>
      </c>
      <c r="O49" s="3"/>
      <c r="P49" s="1"/>
    </row>
    <row r="51" spans="1:22" x14ac:dyDescent="0.4">
      <c r="E51" s="2" t="s">
        <v>51</v>
      </c>
      <c r="G51" t="s">
        <v>52</v>
      </c>
    </row>
    <row r="52" spans="1:22" x14ac:dyDescent="0.4">
      <c r="P52" s="46" t="s">
        <v>58</v>
      </c>
      <c r="Q52" s="47"/>
      <c r="R52" s="48"/>
      <c r="S52" s="48"/>
      <c r="T52" s="48"/>
      <c r="U52" s="49"/>
    </row>
    <row r="53" spans="1:22" x14ac:dyDescent="0.4">
      <c r="E53" s="2" t="s">
        <v>53</v>
      </c>
      <c r="F53" s="2" t="s">
        <v>55</v>
      </c>
      <c r="P53" s="50" t="s">
        <v>59</v>
      </c>
      <c r="Q53" s="2">
        <f>Q14</f>
        <v>180</v>
      </c>
      <c r="R53" s="2">
        <f>R14</f>
        <v>200</v>
      </c>
      <c r="S53" s="2">
        <f>S14</f>
        <v>160</v>
      </c>
      <c r="T53" s="2">
        <f>T14</f>
        <v>100</v>
      </c>
      <c r="U53" s="2">
        <f>U14</f>
        <v>300</v>
      </c>
    </row>
    <row r="54" spans="1:22" x14ac:dyDescent="0.4">
      <c r="E54" t="s">
        <v>8</v>
      </c>
      <c r="H54" s="19">
        <f>MAX(H15, H$41)</f>
        <v>192.5</v>
      </c>
      <c r="I54" s="19">
        <f>MAX(I15, I$41)</f>
        <v>140</v>
      </c>
      <c r="J54" s="19">
        <f>MAX(J15, J$41)</f>
        <v>175</v>
      </c>
      <c r="K54" s="19">
        <f>MAX(K15, K$41)</f>
        <v>175</v>
      </c>
      <c r="L54" s="19">
        <f>MAX(L15, L$41)</f>
        <v>175</v>
      </c>
      <c r="M54" s="19">
        <f>MAX(M15, M$41)</f>
        <v>175</v>
      </c>
      <c r="N54" s="19">
        <f>MAX(N15, N$41)</f>
        <v>175</v>
      </c>
      <c r="O54" s="14"/>
      <c r="P54" s="34" t="str">
        <f>E54</f>
        <v>RFC#001 (F1,F2,F3)</v>
      </c>
      <c r="Q54" s="42">
        <f xml:space="preserve"> H54 * (Q$14 / AVERAGE(H$15:H$19))</f>
        <v>195.65217391304347</v>
      </c>
      <c r="R54" s="42">
        <f t="shared" ref="R54:U55" si="24" xml:space="preserve"> I54 * (R$14 / AVERAGE(I$15:I$19))</f>
        <v>217.39130434782606</v>
      </c>
      <c r="S54" s="42">
        <f t="shared" si="24"/>
        <v>173.91304347826087</v>
      </c>
      <c r="T54" s="42">
        <f t="shared" si="24"/>
        <v>108.69565217391303</v>
      </c>
      <c r="U54" s="42">
        <f t="shared" si="24"/>
        <v>326.08695652173913</v>
      </c>
    </row>
    <row r="55" spans="1:22" x14ac:dyDescent="0.4">
      <c r="E55" t="s">
        <v>9</v>
      </c>
      <c r="H55" s="19">
        <f>MAX(H16, H$41)</f>
        <v>180.125</v>
      </c>
      <c r="I55" s="19">
        <f>MAX(I16, I$41)</f>
        <v>130.66666666666666</v>
      </c>
      <c r="J55" s="19">
        <f>MAX(J16, J$41)</f>
        <v>165</v>
      </c>
      <c r="K55" s="19">
        <f>MAX(K16, K$41)</f>
        <v>163.33333333333334</v>
      </c>
      <c r="L55" s="19">
        <f>MAX(L16, L$41)</f>
        <v>160</v>
      </c>
      <c r="M55" s="19">
        <f>MAX(M16, M$41)</f>
        <v>160</v>
      </c>
      <c r="N55" s="19">
        <f>MAX(N16, N$41)</f>
        <v>175</v>
      </c>
      <c r="O55" s="14"/>
      <c r="P55" s="34" t="str">
        <f t="shared" ref="P55:P58" si="25">E55</f>
        <v>RFC#002 (F1,F3,F4)</v>
      </c>
      <c r="Q55" s="42">
        <f t="shared" ref="Q55:Q58" si="26" xml:space="preserve"> H55 * (Q$14 / AVERAGE(H$15:H$19))</f>
        <v>183.07453416149067</v>
      </c>
      <c r="R55" s="42">
        <f t="shared" si="24"/>
        <v>202.89855072463763</v>
      </c>
      <c r="S55" s="42">
        <f t="shared" si="24"/>
        <v>163.9751552795031</v>
      </c>
      <c r="T55" s="53">
        <f t="shared" si="24"/>
        <v>101.44927536231884</v>
      </c>
      <c r="U55" s="53">
        <f t="shared" si="24"/>
        <v>298.13664596273293</v>
      </c>
    </row>
    <row r="56" spans="1:22" x14ac:dyDescent="0.4">
      <c r="E56" t="s">
        <v>10</v>
      </c>
      <c r="H56" s="19">
        <f>MAX(H17, H$41)</f>
        <v>180.125</v>
      </c>
      <c r="I56" s="19">
        <f>MAX(I17, I$41)</f>
        <v>130.66666666666666</v>
      </c>
      <c r="J56" s="19">
        <f>MAX(J17, J$41)</f>
        <v>165</v>
      </c>
      <c r="K56" s="19">
        <f>MAX(K17, K$41)</f>
        <v>163.33333333333334</v>
      </c>
      <c r="L56" s="19">
        <f>MAX(L17, L$41)</f>
        <v>160</v>
      </c>
      <c r="M56" s="19">
        <f>MAX(M17, M$41)</f>
        <v>160</v>
      </c>
      <c r="N56" s="19">
        <f>MAX(N17, N$41)</f>
        <v>175</v>
      </c>
      <c r="O56" s="14"/>
      <c r="P56" s="34" t="str">
        <f t="shared" si="25"/>
        <v>RFC#003 (F1,F3,F5)</v>
      </c>
      <c r="Q56" s="42">
        <f t="shared" si="26"/>
        <v>183.07453416149067</v>
      </c>
      <c r="R56" s="42">
        <f t="shared" ref="R56:U58" si="27" xml:space="preserve"> I56 * (R$14 / AVERAGE(I$15:I$19))</f>
        <v>202.89855072463763</v>
      </c>
      <c r="S56" s="42">
        <f t="shared" si="27"/>
        <v>163.9751552795031</v>
      </c>
      <c r="T56" s="53">
        <f t="shared" si="27"/>
        <v>101.44927536231884</v>
      </c>
      <c r="U56" s="55">
        <f t="shared" si="27"/>
        <v>298.13664596273293</v>
      </c>
    </row>
    <row r="57" spans="1:22" x14ac:dyDescent="0.4">
      <c r="E57" t="s">
        <v>12</v>
      </c>
      <c r="H57" s="19">
        <f>MAX(H18, H$41)</f>
        <v>187</v>
      </c>
      <c r="I57" s="19">
        <f>MAX(I18, I$41)</f>
        <v>136</v>
      </c>
      <c r="J57" s="19">
        <f>MAX(J18, J$41)</f>
        <v>170</v>
      </c>
      <c r="K57" s="19">
        <f>MAX(K18, K$41)</f>
        <v>170</v>
      </c>
      <c r="L57" s="19">
        <f>MAX(L18, L$41)</f>
        <v>170</v>
      </c>
      <c r="M57" s="19">
        <f>MAX(M18, M$41)</f>
        <v>170</v>
      </c>
      <c r="N57" s="19">
        <f>MAX(N18, N$41)</f>
        <v>175</v>
      </c>
      <c r="O57" s="14"/>
      <c r="P57" s="34" t="str">
        <f t="shared" si="25"/>
        <v>RFC#004 (F1,F2,F4,F5)</v>
      </c>
      <c r="Q57" s="42">
        <f t="shared" si="26"/>
        <v>190.06211180124222</v>
      </c>
      <c r="R57" s="42">
        <f t="shared" si="27"/>
        <v>211.18012422360246</v>
      </c>
      <c r="S57" s="42">
        <f t="shared" si="27"/>
        <v>168.94409937888199</v>
      </c>
      <c r="T57" s="42">
        <f t="shared" si="27"/>
        <v>105.59006211180123</v>
      </c>
      <c r="U57" s="43">
        <f t="shared" si="27"/>
        <v>316.77018633540371</v>
      </c>
    </row>
    <row r="58" spans="1:22" x14ac:dyDescent="0.4">
      <c r="E58" t="s">
        <v>11</v>
      </c>
      <c r="H58" s="19">
        <f>MAX(H19, H$41)</f>
        <v>180.125</v>
      </c>
      <c r="I58" s="19">
        <f>MAX(I19, I$41)</f>
        <v>130.66666666666666</v>
      </c>
      <c r="J58" s="19">
        <f>MAX(J19, J$41)</f>
        <v>165</v>
      </c>
      <c r="K58" s="19">
        <f>MAX(K19, K$41)</f>
        <v>163.33333333333334</v>
      </c>
      <c r="L58" s="19">
        <f>MAX(L19, L$41)</f>
        <v>160</v>
      </c>
      <c r="M58" s="19">
        <f>MAX(M19, M$41)</f>
        <v>160</v>
      </c>
      <c r="N58" s="19">
        <f>MAX(N19, N$41)</f>
        <v>175</v>
      </c>
      <c r="O58" s="14"/>
      <c r="P58" s="36" t="str">
        <f t="shared" si="25"/>
        <v>RFC#005 (F1,F2,F4)</v>
      </c>
      <c r="Q58" s="44">
        <f t="shared" si="26"/>
        <v>183.07453416149067</v>
      </c>
      <c r="R58" s="44">
        <f t="shared" si="27"/>
        <v>202.89855072463763</v>
      </c>
      <c r="S58" s="44">
        <f t="shared" si="27"/>
        <v>163.9751552795031</v>
      </c>
      <c r="T58" s="54">
        <f t="shared" si="27"/>
        <v>101.44927536231884</v>
      </c>
      <c r="U58" s="56">
        <f t="shared" si="27"/>
        <v>298.13664596273293</v>
      </c>
      <c r="V58" s="57" t="s">
        <v>60</v>
      </c>
    </row>
    <row r="59" spans="1:22" ht="32" x14ac:dyDescent="0.4">
      <c r="E59" s="61" t="s">
        <v>61</v>
      </c>
      <c r="H59" s="19">
        <f>AVERAGE(H54:H58)</f>
        <v>183.97499999999999</v>
      </c>
      <c r="I59" s="19">
        <f t="shared" ref="I59:N59" si="28">AVERAGE(I54:I58)</f>
        <v>133.59999999999997</v>
      </c>
      <c r="J59" s="19">
        <f t="shared" si="28"/>
        <v>168</v>
      </c>
      <c r="K59" s="19">
        <f t="shared" si="28"/>
        <v>167.00000000000003</v>
      </c>
      <c r="L59" s="19">
        <f t="shared" si="28"/>
        <v>165</v>
      </c>
      <c r="M59" s="19">
        <f t="shared" si="28"/>
        <v>165</v>
      </c>
      <c r="N59" s="19">
        <f t="shared" si="28"/>
        <v>175</v>
      </c>
      <c r="O59" s="14"/>
      <c r="P59" s="66" t="s">
        <v>61</v>
      </c>
      <c r="Q59" s="67">
        <f>AVERAGE(Q54:Q58)</f>
        <v>186.98757763975155</v>
      </c>
      <c r="R59" s="67">
        <f t="shared" ref="R59" si="29">AVERAGE(R54:R58)</f>
        <v>207.45341614906829</v>
      </c>
      <c r="S59" s="67">
        <f t="shared" ref="S59" si="30">AVERAGE(S54:S58)</f>
        <v>166.95652173913044</v>
      </c>
      <c r="T59" s="67">
        <f t="shared" ref="T59" si="31">AVERAGE(T54:T58)</f>
        <v>103.72670807453417</v>
      </c>
      <c r="U59" s="67">
        <f t="shared" ref="U59" si="32">AVERAGE(U54:U58)</f>
        <v>307.45341614906835</v>
      </c>
    </row>
    <row r="60" spans="1:22" ht="32" x14ac:dyDescent="0.4">
      <c r="E60" s="61" t="s">
        <v>62</v>
      </c>
      <c r="H60" s="19">
        <f>SUM(H54:H58)</f>
        <v>919.875</v>
      </c>
      <c r="I60" s="19">
        <f t="shared" ref="I60:N60" si="33">SUM(I54:I58)</f>
        <v>667.99999999999989</v>
      </c>
      <c r="J60" s="19">
        <f t="shared" si="33"/>
        <v>840</v>
      </c>
      <c r="K60" s="19">
        <f t="shared" si="33"/>
        <v>835.00000000000011</v>
      </c>
      <c r="L60" s="19">
        <f t="shared" si="33"/>
        <v>825</v>
      </c>
      <c r="M60" s="19">
        <f t="shared" si="33"/>
        <v>825</v>
      </c>
      <c r="N60" s="19">
        <f t="shared" si="33"/>
        <v>875</v>
      </c>
      <c r="O60" s="14"/>
      <c r="P60" s="65" t="s">
        <v>62</v>
      </c>
      <c r="Q60" s="44">
        <f>SUM(Q54:Q58)</f>
        <v>934.93788819875772</v>
      </c>
      <c r="R60" s="44">
        <f t="shared" ref="R60:W60" si="34">SUM(R54:R58)</f>
        <v>1037.2670807453414</v>
      </c>
      <c r="S60" s="44">
        <f t="shared" si="34"/>
        <v>834.78260869565224</v>
      </c>
      <c r="T60" s="44">
        <f t="shared" si="34"/>
        <v>518.63354037267084</v>
      </c>
      <c r="U60" s="44">
        <f t="shared" si="34"/>
        <v>1537.2670807453417</v>
      </c>
    </row>
    <row r="62" spans="1:22" x14ac:dyDescent="0.4">
      <c r="P62" s="46" t="s">
        <v>58</v>
      </c>
      <c r="Q62" s="47"/>
      <c r="R62" s="48"/>
      <c r="S62" s="48"/>
      <c r="T62" s="48"/>
      <c r="U62" s="49"/>
    </row>
    <row r="63" spans="1:22" x14ac:dyDescent="0.4">
      <c r="E63" s="2" t="s">
        <v>53</v>
      </c>
      <c r="F63" s="2" t="s">
        <v>56</v>
      </c>
      <c r="P63" s="50" t="s">
        <v>59</v>
      </c>
      <c r="Q63" s="2">
        <f>Q53</f>
        <v>180</v>
      </c>
      <c r="R63" s="2">
        <f t="shared" ref="R63:U63" si="35">R53</f>
        <v>200</v>
      </c>
      <c r="S63" s="2">
        <f t="shared" si="35"/>
        <v>160</v>
      </c>
      <c r="T63" s="2">
        <f t="shared" si="35"/>
        <v>100</v>
      </c>
      <c r="U63" s="2">
        <f t="shared" si="35"/>
        <v>300</v>
      </c>
    </row>
    <row r="64" spans="1:22" x14ac:dyDescent="0.4">
      <c r="E64" t="s">
        <v>8</v>
      </c>
      <c r="H64" s="19">
        <f>MAX(H15, H$45)</f>
        <v>192.5</v>
      </c>
      <c r="I64" s="19">
        <f>MAX(I15, I$45)</f>
        <v>140</v>
      </c>
      <c r="J64" s="19">
        <f>MAX(J15, J$45)</f>
        <v>175</v>
      </c>
      <c r="K64" s="19">
        <f>MAX(K15, K$45)</f>
        <v>175</v>
      </c>
      <c r="L64" s="19">
        <f>MAX(L15, L$45)</f>
        <v>175</v>
      </c>
      <c r="M64" s="19">
        <f>MAX(M15, M$45)</f>
        <v>175</v>
      </c>
      <c r="N64" s="19">
        <f>MAX(N15, N$45)</f>
        <v>175</v>
      </c>
      <c r="O64" s="14"/>
      <c r="P64" s="34" t="str">
        <f>E64</f>
        <v>RFC#001 (F1,F2,F3)</v>
      </c>
      <c r="Q64" s="42">
        <f xml:space="preserve"> H64 * (Q$14 / AVERAGE(H$15:H$19))</f>
        <v>195.65217391304347</v>
      </c>
      <c r="R64" s="42">
        <f xml:space="preserve"> I64 * (R$14 / AVERAGE(I$15:I$19))</f>
        <v>217.39130434782606</v>
      </c>
      <c r="S64" s="42">
        <f xml:space="preserve"> J64 * (S$14 / AVERAGE(J$15:J$19))</f>
        <v>173.91304347826087</v>
      </c>
      <c r="T64" s="42">
        <f xml:space="preserve"> K64 * (T$14 / AVERAGE(K$15:K$19))</f>
        <v>108.69565217391303</v>
      </c>
      <c r="U64" s="43">
        <f xml:space="preserve"> L64 * (U$14 / AVERAGE(L$15:L$19))</f>
        <v>326.08695652173913</v>
      </c>
    </row>
    <row r="65" spans="5:21" x14ac:dyDescent="0.4">
      <c r="E65" t="s">
        <v>9</v>
      </c>
      <c r="H65" s="19">
        <f>MAX(H16, H$45)</f>
        <v>170.5</v>
      </c>
      <c r="I65" s="19">
        <f>MAX(I16, I$45)</f>
        <v>124</v>
      </c>
      <c r="J65" s="19">
        <f>MAX(J16, J$45)</f>
        <v>156.25</v>
      </c>
      <c r="K65" s="19">
        <f>MAX(K16, K$45)</f>
        <v>171.36787424882797</v>
      </c>
      <c r="L65" s="19">
        <f>MAX(L16, L$45)</f>
        <v>171.36787424882797</v>
      </c>
      <c r="M65" s="19">
        <f>MAX(M16, M$45)</f>
        <v>173.05825844944187</v>
      </c>
      <c r="N65" s="19">
        <f>MAX(N16, N$45)</f>
        <v>174.16131266942352</v>
      </c>
      <c r="O65" s="14"/>
      <c r="P65" s="34" t="str">
        <f t="shared" ref="P65:P68" si="36">E65</f>
        <v>RFC#002 (F1,F3,F4)</v>
      </c>
      <c r="Q65" s="42">
        <f t="shared" ref="Q65:Q68" si="37" xml:space="preserve"> H65 * (Q$14 / AVERAGE(H$15:H$19))</f>
        <v>173.29192546583852</v>
      </c>
      <c r="R65" s="42">
        <f t="shared" ref="R65:U68" si="38" xml:space="preserve"> I65 * (R$14 / AVERAGE(I$15:I$19))</f>
        <v>192.54658385093165</v>
      </c>
      <c r="S65" s="42">
        <f t="shared" si="38"/>
        <v>155.27950310559007</v>
      </c>
      <c r="T65" s="42">
        <f t="shared" si="38"/>
        <v>106.43967344647699</v>
      </c>
      <c r="U65" s="43">
        <f t="shared" si="38"/>
        <v>319.31902033943101</v>
      </c>
    </row>
    <row r="66" spans="5:21" x14ac:dyDescent="0.4">
      <c r="E66" t="s">
        <v>10</v>
      </c>
      <c r="H66" s="19">
        <f>MAX(H17, H$45)</f>
        <v>159.5</v>
      </c>
      <c r="I66" s="19">
        <f>MAX(I17, I$45)</f>
        <v>122</v>
      </c>
      <c r="J66" s="19">
        <f>MAX(J17, J$45)</f>
        <v>156.25</v>
      </c>
      <c r="K66" s="19">
        <f>MAX(K17, K$45)</f>
        <v>171.36787424882797</v>
      </c>
      <c r="L66" s="19">
        <f>MAX(L17, L$45)</f>
        <v>171.36787424882797</v>
      </c>
      <c r="M66" s="19">
        <f>MAX(M17, M$45)</f>
        <v>173.05825844944187</v>
      </c>
      <c r="N66" s="19">
        <f>MAX(N17, N$45)</f>
        <v>174.16131266942352</v>
      </c>
      <c r="O66" s="14"/>
      <c r="P66" s="34" t="str">
        <f t="shared" si="36"/>
        <v>RFC#003 (F1,F3,F5)</v>
      </c>
      <c r="Q66" s="42">
        <f t="shared" si="37"/>
        <v>162.11180124223603</v>
      </c>
      <c r="R66" s="42">
        <f t="shared" si="38"/>
        <v>189.44099378881987</v>
      </c>
      <c r="S66" s="42">
        <f t="shared" si="38"/>
        <v>155.27950310559007</v>
      </c>
      <c r="T66" s="42">
        <f t="shared" si="38"/>
        <v>106.43967344647699</v>
      </c>
      <c r="U66" s="43">
        <f t="shared" si="38"/>
        <v>319.31902033943101</v>
      </c>
    </row>
    <row r="67" spans="5:21" x14ac:dyDescent="0.4">
      <c r="E67" t="s">
        <v>12</v>
      </c>
      <c r="H67" s="19">
        <f>MAX(H18, H$45)</f>
        <v>187</v>
      </c>
      <c r="I67" s="19">
        <f>MAX(I18, I$45)</f>
        <v>136</v>
      </c>
      <c r="J67" s="19">
        <f>MAX(J18, J$45)</f>
        <v>170</v>
      </c>
      <c r="K67" s="19">
        <f>MAX(K18, K$45)</f>
        <v>171.36787424882797</v>
      </c>
      <c r="L67" s="19">
        <f>MAX(L18, L$45)</f>
        <v>171.36787424882797</v>
      </c>
      <c r="M67" s="19">
        <f>MAX(M18, M$45)</f>
        <v>173.05825844944187</v>
      </c>
      <c r="N67" s="19">
        <f>MAX(N18, N$45)</f>
        <v>174.16131266942352</v>
      </c>
      <c r="O67" s="14"/>
      <c r="P67" s="34" t="str">
        <f t="shared" si="36"/>
        <v>RFC#004 (F1,F2,F4,F5)</v>
      </c>
      <c r="Q67" s="42">
        <f t="shared" si="37"/>
        <v>190.06211180124222</v>
      </c>
      <c r="R67" s="42">
        <f t="shared" si="38"/>
        <v>211.18012422360246</v>
      </c>
      <c r="S67" s="42">
        <f t="shared" si="38"/>
        <v>168.94409937888199</v>
      </c>
      <c r="T67" s="42">
        <f t="shared" si="38"/>
        <v>106.43967344647699</v>
      </c>
      <c r="U67" s="43">
        <f t="shared" si="38"/>
        <v>319.31902033943101</v>
      </c>
    </row>
    <row r="68" spans="5:21" x14ac:dyDescent="0.4">
      <c r="E68" t="s">
        <v>11</v>
      </c>
      <c r="H68" s="19">
        <f>MAX(H19, H$45)</f>
        <v>176</v>
      </c>
      <c r="I68" s="19">
        <f>MAX(I19, I$45)</f>
        <v>128</v>
      </c>
      <c r="J68" s="19">
        <f>MAX(J19, J$45)</f>
        <v>160</v>
      </c>
      <c r="K68" s="19">
        <f>MAX(K19, K$45)</f>
        <v>171.36787424882797</v>
      </c>
      <c r="L68" s="19">
        <f>MAX(L19, L$45)</f>
        <v>171.36787424882797</v>
      </c>
      <c r="M68" s="19">
        <f>MAX(M19, M$45)</f>
        <v>173.05825844944187</v>
      </c>
      <c r="N68" s="19">
        <f>MAX(N19, N$45)</f>
        <v>174.16131266942352</v>
      </c>
      <c r="O68" s="14"/>
      <c r="P68" s="36" t="str">
        <f t="shared" si="36"/>
        <v>RFC#005 (F1,F2,F4)</v>
      </c>
      <c r="Q68" s="44">
        <f t="shared" si="37"/>
        <v>178.88198757763976</v>
      </c>
      <c r="R68" s="44">
        <f t="shared" si="38"/>
        <v>198.75776397515526</v>
      </c>
      <c r="S68" s="44">
        <f t="shared" si="38"/>
        <v>159.00621118012421</v>
      </c>
      <c r="T68" s="44">
        <f t="shared" si="38"/>
        <v>106.43967344647699</v>
      </c>
      <c r="U68" s="45">
        <f t="shared" si="38"/>
        <v>319.31902033943101</v>
      </c>
    </row>
    <row r="69" spans="5:21" ht="32" x14ac:dyDescent="0.4">
      <c r="E69" s="61" t="s">
        <v>61</v>
      </c>
      <c r="H69" s="19">
        <f>AVERAGE(H64:H68)</f>
        <v>177.1</v>
      </c>
      <c r="I69" s="19">
        <f t="shared" ref="I69" si="39">AVERAGE(I64:I68)</f>
        <v>130</v>
      </c>
      <c r="J69" s="19">
        <f t="shared" ref="J69" si="40">AVERAGE(J64:J68)</f>
        <v>163.5</v>
      </c>
      <c r="K69" s="19">
        <f t="shared" ref="K69" si="41">AVERAGE(K64:K68)</f>
        <v>172.09429939906241</v>
      </c>
      <c r="L69" s="19">
        <f t="shared" ref="L69" si="42">AVERAGE(L64:L68)</f>
        <v>172.09429939906241</v>
      </c>
      <c r="M69" s="19">
        <f t="shared" ref="M69" si="43">AVERAGE(M64:M68)</f>
        <v>173.44660675955348</v>
      </c>
      <c r="N69" s="19">
        <f t="shared" ref="N69" si="44">AVERAGE(N64:N68)</f>
        <v>174.32905013553881</v>
      </c>
      <c r="P69" s="66" t="s">
        <v>61</v>
      </c>
      <c r="Q69" s="68">
        <f>AVERAGE(Q64:Q68)</f>
        <v>180.00000000000003</v>
      </c>
      <c r="R69" s="68">
        <f t="shared" ref="R69" si="45">AVERAGE(R64:R68)</f>
        <v>201.86335403726707</v>
      </c>
      <c r="S69" s="68">
        <f t="shared" ref="S69" si="46">AVERAGE(S64:S68)</f>
        <v>162.48447204968943</v>
      </c>
      <c r="T69" s="68">
        <f t="shared" ref="T69" si="47">AVERAGE(T64:T68)</f>
        <v>106.8908691919642</v>
      </c>
      <c r="U69" s="68">
        <f t="shared" ref="U69" si="48">AVERAGE(U64:U68)</f>
        <v>320.67260757589264</v>
      </c>
    </row>
    <row r="70" spans="5:21" ht="32" x14ac:dyDescent="0.4">
      <c r="E70" s="61" t="s">
        <v>62</v>
      </c>
      <c r="H70" s="19">
        <f>SUM(H64:H68)</f>
        <v>885.5</v>
      </c>
      <c r="I70" s="19">
        <f t="shared" ref="I70:N70" si="49">SUM(I64:I68)</f>
        <v>650</v>
      </c>
      <c r="J70" s="19">
        <f t="shared" si="49"/>
        <v>817.5</v>
      </c>
      <c r="K70" s="19">
        <f t="shared" si="49"/>
        <v>860.47149699531201</v>
      </c>
      <c r="L70" s="19">
        <f t="shared" si="49"/>
        <v>860.47149699531201</v>
      </c>
      <c r="M70" s="19">
        <f t="shared" si="49"/>
        <v>867.23303379776735</v>
      </c>
      <c r="N70" s="19">
        <f t="shared" si="49"/>
        <v>871.64525067769409</v>
      </c>
      <c r="P70" s="65" t="s">
        <v>62</v>
      </c>
      <c r="Q70" s="68">
        <f>SUM(Q64:Q68)</f>
        <v>900.00000000000011</v>
      </c>
      <c r="R70" s="68">
        <f t="shared" ref="R70:U70" si="50">SUM(R64:R68)</f>
        <v>1009.3167701863354</v>
      </c>
      <c r="S70" s="68">
        <f t="shared" si="50"/>
        <v>812.42236024844715</v>
      </c>
      <c r="T70" s="68">
        <f t="shared" si="50"/>
        <v>534.45434595982101</v>
      </c>
      <c r="U70" s="68">
        <f t="shared" si="50"/>
        <v>1603.3630378794633</v>
      </c>
    </row>
  </sheetData>
  <mergeCells count="1">
    <mergeCell ref="G32:G36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942cbd-8f04-4b21-85ab-7d61ef6dd7e2" xsi:nil="true"/>
    <lcf76f155ced4ddcb4097134ff3c332f xmlns="6cf8c800-c7d0-4660-9ce8-66956ba5f78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EF3CE749D30F4B87E3EEFD10458FD1" ma:contentTypeVersion="18" ma:contentTypeDescription="Create a new document." ma:contentTypeScope="" ma:versionID="0781ea3e1676a014eb931b03ce953570">
  <xsd:schema xmlns:xsd="http://www.w3.org/2001/XMLSchema" xmlns:xs="http://www.w3.org/2001/XMLSchema" xmlns:p="http://schemas.microsoft.com/office/2006/metadata/properties" xmlns:ns2="6cf8c800-c7d0-4660-9ce8-66956ba5f786" xmlns:ns3="3c942cbd-8f04-4b21-85ab-7d61ef6dd7e2" targetNamespace="http://schemas.microsoft.com/office/2006/metadata/properties" ma:root="true" ma:fieldsID="a9a0108981fdce62f1cb47a3ba669c8e" ns2:_="" ns3:_="">
    <xsd:import namespace="6cf8c800-c7d0-4660-9ce8-66956ba5f786"/>
    <xsd:import namespace="3c942cbd-8f04-4b21-85ab-7d61ef6dd7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8c800-c7d0-4660-9ce8-66956ba5f7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9e4bc4-1619-46ae-aa36-461b529759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42cbd-8f04-4b21-85ab-7d61ef6dd7e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2d5aec-a762-4c65-be53-06b17b963ff3}" ma:internalName="TaxCatchAll" ma:showField="CatchAllData" ma:web="3c942cbd-8f04-4b21-85ab-7d61ef6dd7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A0AADA-0934-41F6-9EF4-D70AF6402A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7050D5-FB00-4FD2-9805-AF3ECCDCD019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3c942cbd-8f04-4b21-85ab-7d61ef6dd7e2"/>
    <ds:schemaRef ds:uri="6cf8c800-c7d0-4660-9ce8-66956ba5f78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ACAFB59-652D-404E-892E-CA61EC233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8c800-c7d0-4660-9ce8-66956ba5f786"/>
    <ds:schemaRef ds:uri="3c942cbd-8f04-4b21-85ab-7d61ef6dd7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Logics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Mueller</dc:creator>
  <cp:lastModifiedBy>Nguyen Thi Quynh, Ngoc (Sam)</cp:lastModifiedBy>
  <dcterms:created xsi:type="dcterms:W3CDTF">2025-10-26T05:06:01Z</dcterms:created>
  <dcterms:modified xsi:type="dcterms:W3CDTF">2025-11-04T02:25:37Z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0x0101009FEF3CE749D30F4B87E3EEFD10458FD1</vt:lpwstr>
  </property>
  <property fmtid="{D5CDD505-2E9C-101B-9397-08002B2CF9AE}" pid="3" name="MediaServiceImageTags">
    <vt:lpwstr/>
  </property>
</Properties>
</file>